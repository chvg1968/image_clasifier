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Supuestos" sheetId="2" state="visible" r:id="rId4"/>
    <sheet name="Corridas" sheetId="3" state="visible" r:id="rId5"/>
    <sheet name="Tokens por llamada" sheetId="4" state="visible" r:id="rId6"/>
    <sheet name="Escenari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<sst xmlns="http://schemas.openxmlformats.org/spreadsheetml/2006/main" count="154" uniqueCount="133">
  <si>
    <t xml:space="preserve">Costo estimado del ejercicio de clasificación de avisos</t>
  </si>
  <si>
    <t xml:space="preserve">48 panorámicas 360° · 13–14 octubre 2026 · estimación a partir de tokens medidos y conteo de llamadas</t>
  </si>
  <si>
    <t xml:space="preserve">Concepto</t>
  </si>
  <si>
    <t xml:space="preserve">USD</t>
  </si>
  <si>
    <t xml:space="preserve">Anthropic (Claude Haiku 5.5)</t>
  </si>
  <si>
    <t xml:space="preserve">OpenAI (Decisions API)</t>
  </si>
  <si>
    <t xml:space="preserve">Total APIs</t>
  </si>
  <si>
    <t xml:space="preserve">  de lo cual: corrida útil (entrega)</t>
  </si>
  <si>
    <t xml:space="preserve">  de lo cual: pruebas, errores y repeticiones</t>
  </si>
  <si>
    <t xml:space="preserve">Segmentación SAM 3 (local en el Mac)</t>
  </si>
  <si>
    <t xml:space="preserve">Lote nuevo de 48 imágenes con la configuración actual</t>
  </si>
  <si>
    <t xml:space="preserve">Por qué cada aviso consume tantos tokens</t>
  </si>
  <si>
    <t xml:space="preserve">1. Cada aviso se envía con 15 imágenes: 13 ejemplos de referencia + el recorte + una ventana de contexto. Las imágenes pesan mucho más que el texto.</t>
  </si>
  <si>
    <t xml:space="preserve">2. La ventana de contexto se envía grande (hasta 1568 px): ~3,100 tokens por aviso.</t>
  </si>
  <si>
    <t xml:space="preserve">3. Se clasificó con dos proveedores a la vez para compararlos, así que cada aviso se pagó dos veces.</t>
  </si>
  <si>
    <t xml:space="preserve">4. Hubo 5 corridas además de la final: una se descartó por un bug y otra procesó 1,345 objetos antes de agregar el filtro de tamaño.</t>
  </si>
  <si>
    <t xml:space="preserve">5. No incluye el uso de Claude Code (esta conversación), que se cobra aparte según el plan.</t>
  </si>
  <si>
    <t xml:space="preserve">Dato exacto: consola de Anthropic (console.anthropic.com → Usage) y de OpenAI (platform.openai.com → Usage).</t>
  </si>
  <si>
    <t xml:space="preserve">Supuestos y mediciones</t>
  </si>
  <si>
    <t xml:space="preserve">Celdas en azul = datos de entrada (se pueden editar). Todo lo demás se calcula.</t>
  </si>
  <si>
    <t xml:space="preserve">Parámetro</t>
  </si>
  <si>
    <t xml:space="preserve">Valor</t>
  </si>
  <si>
    <t xml:space="preserve">Unidad</t>
  </si>
  <si>
    <t xml:space="preserve">Fuente / nota</t>
  </si>
  <si>
    <t xml:space="preserve">Precio Haiku 5.5 · entrada</t>
  </si>
  <si>
    <t xml:space="preserve">USD por millón de tokens</t>
  </si>
  <si>
    <t xml:space="preserve">Precio de lista Anthropic (prompts ≤100K tokens)</t>
  </si>
  <si>
    <t xml:space="preserve">Precio Haiku 5.5 · salida</t>
  </si>
  <si>
    <t xml:space="preserve">Precio de lista Anthropic</t>
  </si>
  <si>
    <t xml:space="preserve">Multiplicador lectura de caché</t>
  </si>
  <si>
    <t xml:space="preserve">× precio entrada</t>
  </si>
  <si>
    <t xml:space="preserve">Supuesto: multiplicador estándar de caché de Anthropic</t>
  </si>
  <si>
    <t xml:space="preserve">Multiplicador escritura de caché</t>
  </si>
  <si>
    <t xml:space="preserve">Precio OpenAI Decisions · entrada</t>
  </si>
  <si>
    <t xml:space="preserve">developers.openai.com/api/docs/guides/decisions (no cobra salida)</t>
  </si>
  <si>
    <t xml:space="preserve">Haiku · tokens de entrada sin caché por aviso</t>
  </si>
  <si>
    <t xml:space="preserve">tokens</t>
  </si>
  <si>
    <t xml:space="preserve">Medido 14-oct-2026 con una llamada real (usage.input_tokens)</t>
  </si>
  <si>
    <t xml:space="preserve">Haiku · tokens en caché por aviso (ejemplos)</t>
  </si>
  <si>
    <t xml:space="preserve">Medido 14-oct-2026 (usage.cache_read_input_tokens)</t>
  </si>
  <si>
    <t xml:space="preserve">Haiku · tokens de salida por aviso (esfuerzo low)</t>
  </si>
  <si>
    <t xml:space="preserve">Medido 14-oct-2026: 139 y 128 tokens en 2 llamadas</t>
  </si>
  <si>
    <t xml:space="preserve">Multiplicador de salida con esfuerzo medium</t>
  </si>
  <si>
    <t xml:space="preserve">×</t>
  </si>
  <si>
    <t xml:space="preserve">Supuesto: más razonamiento; solo afecta la prueba de 120 avisos</t>
  </si>
  <si>
    <t xml:space="preserve">Escrituras de caché por corrida</t>
  </si>
  <si>
    <t xml:space="preserve">llamadas</t>
  </si>
  <si>
    <t xml:space="preserve">Supuesto: 8 llamadas en paralelo al inicio de cada corrida escriben la caché</t>
  </si>
  <si>
    <t xml:space="preserve">OpenAI · tokens de entrada por aviso</t>
  </si>
  <si>
    <t xml:space="preserve">Medido 14-oct-2026 con una llamada real (usage.input_tokens); OpenAI no cacheó</t>
  </si>
  <si>
    <t xml:space="preserve">Costo por aviso</t>
  </si>
  <si>
    <t xml:space="preserve">Haiku (con caché, esfuerzo low)</t>
  </si>
  <si>
    <t xml:space="preserve">Haiku (sin caché)</t>
  </si>
  <si>
    <t xml:space="preserve">OpenAI Decisions</t>
  </si>
  <si>
    <t xml:space="preserve">Escritura de caché Haiku (costo extra por corrida)</t>
  </si>
  <si>
    <t xml:space="preserve">Costo por corrida</t>
  </si>
  <si>
    <t xml:space="preserve">Avisos = objetos enviados a clasificar en esa corrida. 1 = se usó ese clasificador, 0 = no.</t>
  </si>
  <si>
    <t xml:space="preserve">Corrida</t>
  </si>
  <si>
    <t xml:space="preserve">Propósito</t>
  </si>
  <si>
    <t xml:space="preserve">Avisos</t>
  </si>
  <si>
    <t xml:space="preserve">Usa Haiku</t>
  </si>
  <si>
    <t xml:space="preserve">Usa OpenAI</t>
  </si>
  <si>
    <t xml:space="preserve">Mult. salida Haiku</t>
  </si>
  <si>
    <t xml:space="preserve">Llamadas Haiku</t>
  </si>
  <si>
    <t xml:space="preserve">Llamadas OpenAI</t>
  </si>
  <si>
    <t xml:space="preserve">Costo Haiku (USD)</t>
  </si>
  <si>
    <t xml:space="preserve">Costo OpenAI (USD)</t>
  </si>
  <si>
    <t xml:space="preserve">Costo total (USD)</t>
  </si>
  <si>
    <t xml:space="preserve">¿Útil para la entrega?</t>
  </si>
  <si>
    <t xml:space="preserve">Prueba inicial L6_070</t>
  </si>
  <si>
    <t xml:space="preserve">Validar el flujo con 1 imagen</t>
  </si>
  <si>
    <t xml:space="preserve">No</t>
  </si>
  <si>
    <t xml:space="preserve">Lote 1 (bug SAM 3)</t>
  </si>
  <si>
    <t xml:space="preserve">Primer lote completo; se descartó por un bug de detección</t>
  </si>
  <si>
    <t xml:space="preserve">Lote 2 sin filtro</t>
  </si>
  <si>
    <t xml:space="preserve">Lote completo corregido, sin filtro de tamaño (incluía manchas)</t>
  </si>
  <si>
    <t xml:space="preserve">Prueba reglas nuevas</t>
  </si>
  <si>
    <t xml:space="preserve">Probar filtro y reglas de Dudoso en 4 imágenes</t>
  </si>
  <si>
    <t xml:space="preserve">Prueba Haiku medium</t>
  </si>
  <si>
    <t xml:space="preserve">Comparar esfuerzo low vs medium</t>
  </si>
  <si>
    <t xml:space="preserve">Reclasificación final</t>
  </si>
  <si>
    <t xml:space="preserve">Resultado entregado (output_v2 / entrega)</t>
  </si>
  <si>
    <t xml:space="preserve">Sí</t>
  </si>
  <si>
    <t xml:space="preserve">Medición de tokens</t>
  </si>
  <si>
    <t xml:space="preserve">Llamadas para este cálculo de costos</t>
  </si>
  <si>
    <t xml:space="preserve">TOTAL</t>
  </si>
  <si>
    <t xml:space="preserve">Costo de corridas útiles para la entrega</t>
  </si>
  <si>
    <t xml:space="preserve">Costo de pruebas, errores y repeticiones</t>
  </si>
  <si>
    <t xml:space="preserve">% del gasto que fue aprendizaje / pruebas</t>
  </si>
  <si>
    <t xml:space="preserve">¿De dónde salen los tokens de cada aviso?</t>
  </si>
  <si>
    <t xml:space="preserve">Medido con la API de conteo de tokens de Anthropic (gratuita) sobre un aviso real (L6_078 #0). Una imagen cuesta aprox. ancho×alto/750 tokens.</t>
  </si>
  <si>
    <t xml:space="preserve">Componente</t>
  </si>
  <si>
    <t xml:space="preserve">Tokens</t>
  </si>
  <si>
    <t xml:space="preserve">% del total</t>
  </si>
  <si>
    <t xml:space="preserve">¿Se cachea en Haiku?</t>
  </si>
  <si>
    <t xml:space="preserve">Comentario</t>
  </si>
  <si>
    <t xml:space="preserve">13 imágenes de ejemplo de referencia</t>
  </si>
  <si>
    <t xml:space="preserve">Se repiten idénticas en cada llamada. En Haiku se cobran al 10 %; en OpenAI se cobran completas.</t>
  </si>
  <si>
    <t xml:space="preserve">Imagen de contexto (2494×2495 px → reducida a 1568 px)</t>
  </si>
  <si>
    <t xml:space="preserve">La más pesada: ventana 4× el tamaño del aviso, mínimo 1200 px.</t>
  </si>
  <si>
    <t xml:space="preserve">Criterios, reglas y pregunta (texto)</t>
  </si>
  <si>
    <t xml:space="preserve">Parcial</t>
  </si>
  <si>
    <t xml:space="preserve">El texto del sistema entra en la caché; la pregunta no.</t>
  </si>
  <si>
    <t xml:space="preserve">Recorte del aviso (936×244 px en este ejemplo)</t>
  </si>
  <si>
    <t xml:space="preserve">Varía con el tamaño del aviso.</t>
  </si>
  <si>
    <t xml:space="preserve">TOTAL por aviso (Haiku)</t>
  </si>
  <si>
    <t xml:space="preserve">Comparación: un mensaje de texto típico</t>
  </si>
  <si>
    <t xml:space="preserve">Supuesto: una pregunta corta de chat ronda 100–500 tokens.</t>
  </si>
  <si>
    <t xml:space="preserve">Veces más tokens que un mensaje de texto</t>
  </si>
  <si>
    <t xml:space="preserve">Total de tokens procesados en el ejercicio</t>
  </si>
  <si>
    <t xml:space="preserve">Haiku (entrada, incl. caché)</t>
  </si>
  <si>
    <t xml:space="preserve">OpenAI (entrada)</t>
  </si>
  <si>
    <t xml:space="preserve">Total</t>
  </si>
  <si>
    <t xml:space="preserve">¿Cuánto cuesta procesar un lote nuevo de 48 panorámicas?</t>
  </si>
  <si>
    <t xml:space="preserve">Supone ~707 avisos por lote (como la reclasificación final). Ahorros de tokens aproximados.</t>
  </si>
  <si>
    <t xml:space="preserve">Avisos por lote</t>
  </si>
  <si>
    <t xml:space="preserve">Tokens de la imagen de contexto si se reduce a 768 px</t>
  </si>
  <si>
    <t xml:space="preserve">Hoy usa 3,139 tokens (ver hoja Tokens por llamada)</t>
  </si>
  <si>
    <t xml:space="preserve">Ahorro por aviso al reducir el contexto</t>
  </si>
  <si>
    <t xml:space="preserve">Escenario</t>
  </si>
  <si>
    <t xml:space="preserve">Total por lote (USD)</t>
  </si>
  <si>
    <t xml:space="preserve">Costo por aviso (USD)</t>
  </si>
  <si>
    <t xml:space="preserve">Nota</t>
  </si>
  <si>
    <t xml:space="preserve">Configuración actual (Haiku + OpenAI)</t>
  </si>
  <si>
    <t xml:space="preserve">Lo que se usó para la entrega</t>
  </si>
  <si>
    <t xml:space="preserve">Solo Haiku</t>
  </si>
  <si>
    <t xml:space="preserve">Haiku fue el mejor clasificador individual</t>
  </si>
  <si>
    <t xml:space="preserve">Actual + contexto reducido a 768 px</t>
  </si>
  <si>
    <t xml:space="preserve">Hay que validar que no baje la precisión</t>
  </si>
  <si>
    <t xml:space="preserve">Solo Haiku + contexto 768 px</t>
  </si>
  <si>
    <t xml:space="preserve">El más barato</t>
  </si>
  <si>
    <t xml:space="preserve">Actual sin caché en Haiku (referencia)</t>
  </si>
  <si>
    <t xml:space="preserve">Muestra cuánto ahorra la caché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</si>
</sst>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;&quot;($&quot;#,##0.00\);\-"/>
    <numFmt numFmtId="166" formatCode="0.00"/>
    <numFmt numFmtId="167" formatCode="#,##0"/>
    <numFmt numFmtId="168" formatCode="\$#,##0.000000"/>
    <numFmt numFmtId="169" formatCode="\$#,##0.0000"/>
    <numFmt numFmtId="170" formatCode="0.0%"/>
    <numFmt numFmtId="171" formatCode="0.0\x"/>
    <numFmt numFmtId="172" formatCode="\$#,##0.0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4" t="s">
        <v>2</v>
      </c>
      <c r="B4" s="4" t="s">
        <v>3</v>
      </c>
    </row>
    <row r="5" customFormat="false" ht="15" hidden="false" customHeight="false" outlineLevel="0" collapsed="false">
      <c r="A5" s="2" t="s">
        <v>4</v>
      </c>
      <c r="B5" s="5" t="n">
        <f aca="false">Corridas!I12</f>
        <v>1.42105513</v>
      </c>
    </row>
    <row r="6" customFormat="false" ht="15" hidden="false" customHeight="false" outlineLevel="0" collapsed="false">
      <c r="A6" s="2" t="s">
        <v>5</v>
      </c>
      <c r="B6" s="5" t="n">
        <f aca="false">Corridas!J12</f>
        <v>2.1074925</v>
      </c>
    </row>
    <row r="7" customFormat="false" ht="15" hidden="false" customHeight="false" outlineLevel="0" collapsed="false">
      <c r="A7" s="6" t="s">
        <v>6</v>
      </c>
      <c r="B7" s="7" t="n">
        <f aca="false">Corridas!K12</f>
        <v>3.52854763</v>
      </c>
    </row>
    <row r="8" customFormat="false" ht="15" hidden="false" customHeight="false" outlineLevel="0" collapsed="false">
      <c r="A8" s="2" t="s">
        <v>7</v>
      </c>
      <c r="B8" s="5" t="n">
        <f aca="false">Corridas!K14</f>
        <v>0.99402283</v>
      </c>
    </row>
    <row r="9" customFormat="false" ht="15" hidden="false" customHeight="false" outlineLevel="0" collapsed="false">
      <c r="A9" s="2" t="s">
        <v>8</v>
      </c>
      <c r="B9" s="5" t="n">
        <f aca="false">Corridas!K15</f>
        <v>2.5345248</v>
      </c>
    </row>
    <row r="10" customFormat="false" ht="15" hidden="false" customHeight="false" outlineLevel="0" collapsed="false">
      <c r="A10" s="2" t="s">
        <v>9</v>
      </c>
      <c r="B10" s="5" t="n">
        <v>0</v>
      </c>
    </row>
    <row r="11" customFormat="false" ht="15" hidden="false" customHeight="false" outlineLevel="0" collapsed="false">
      <c r="A11" s="2" t="s">
        <v>10</v>
      </c>
      <c r="B11" s="5" t="n">
        <f aca="false">Escenarios!D9</f>
        <v>0.99402283</v>
      </c>
    </row>
    <row r="12" customFormat="false" ht="15" hidden="false" customHeight="false" outlineLevel="0" collapsed="false">
      <c r="A12" s="2"/>
      <c r="B12" s="2"/>
    </row>
    <row r="13" customFormat="false" ht="15" hidden="false" customHeight="false" outlineLevel="0" collapsed="false">
      <c r="A13" s="8" t="s">
        <v>11</v>
      </c>
      <c r="B13" s="2"/>
    </row>
    <row r="14" customFormat="false" ht="15" hidden="false" customHeight="false" outlineLevel="0" collapsed="false">
      <c r="A14" s="2" t="s">
        <v>12</v>
      </c>
      <c r="B14" s="2"/>
    </row>
    <row r="15" customFormat="false" ht="15" hidden="false" customHeight="false" outlineLevel="0" collapsed="false">
      <c r="A15" s="2" t="s">
        <v>13</v>
      </c>
      <c r="B15" s="2"/>
    </row>
    <row r="16" customFormat="false" ht="15" hidden="false" customHeight="false" outlineLevel="0" collapsed="false">
      <c r="A16" s="2" t="s">
        <v>14</v>
      </c>
      <c r="B16" s="2"/>
    </row>
    <row r="17" customFormat="false" ht="15" hidden="false" customHeight="false" outlineLevel="0" collapsed="false">
      <c r="A17" s="2" t="s">
        <v>15</v>
      </c>
      <c r="B17" s="2"/>
    </row>
    <row r="18" customFormat="false" ht="15" hidden="false" customHeight="false" outlineLevel="0" collapsed="false">
      <c r="A18" s="2" t="s">
        <v>16</v>
      </c>
      <c r="B18" s="2"/>
    </row>
    <row r="19" customFormat="false" ht="15" hidden="false" customHeight="false" outlineLevel="0" collapsed="false">
      <c r="A19" s="2" t="s">
        <v>17</v>
      </c>
      <c r="B1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18</v>
      </c>
      <c r="B1" s="2"/>
      <c r="C1" s="2"/>
      <c r="D1" s="2"/>
    </row>
    <row r="2" customFormat="false" ht="15" hidden="false" customHeight="false" outlineLevel="0" collapsed="false">
      <c r="A2" s="3" t="s">
        <v>19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4" t="s">
        <v>20</v>
      </c>
      <c r="B4" s="4" t="s">
        <v>21</v>
      </c>
      <c r="C4" s="4" t="s">
        <v>22</v>
      </c>
      <c r="D4" s="4" t="s">
        <v>23</v>
      </c>
    </row>
    <row r="5" customFormat="false" ht="15" hidden="false" customHeight="false" outlineLevel="0" collapsed="false">
      <c r="A5" s="2" t="s">
        <v>24</v>
      </c>
      <c r="B5" s="9" t="n">
        <v>0.1</v>
      </c>
      <c r="C5" s="2" t="s">
        <v>25</v>
      </c>
      <c r="D5" s="2" t="s">
        <v>26</v>
      </c>
    </row>
    <row r="6" customFormat="false" ht="15" hidden="false" customHeight="false" outlineLevel="0" collapsed="false">
      <c r="A6" s="2" t="s">
        <v>27</v>
      </c>
      <c r="B6" s="9" t="n">
        <v>0.5</v>
      </c>
      <c r="C6" s="2" t="s">
        <v>25</v>
      </c>
      <c r="D6" s="2" t="s">
        <v>28</v>
      </c>
    </row>
    <row r="7" customFormat="false" ht="15" hidden="false" customHeight="false" outlineLevel="0" collapsed="false">
      <c r="A7" s="2" t="s">
        <v>29</v>
      </c>
      <c r="B7" s="9" t="n">
        <v>0.1</v>
      </c>
      <c r="C7" s="2" t="s">
        <v>30</v>
      </c>
      <c r="D7" s="2" t="s">
        <v>31</v>
      </c>
    </row>
    <row r="8" customFormat="false" ht="15" hidden="false" customHeight="false" outlineLevel="0" collapsed="false">
      <c r="A8" s="2" t="s">
        <v>32</v>
      </c>
      <c r="B8" s="9" t="n">
        <v>1.25</v>
      </c>
      <c r="C8" s="2" t="s">
        <v>30</v>
      </c>
      <c r="D8" s="2" t="s">
        <v>31</v>
      </c>
    </row>
    <row r="9" customFormat="false" ht="15" hidden="false" customHeight="false" outlineLevel="0" collapsed="false">
      <c r="A9" s="2" t="s">
        <v>33</v>
      </c>
      <c r="B9" s="9" t="n">
        <v>0.1</v>
      </c>
      <c r="C9" s="2" t="s">
        <v>25</v>
      </c>
      <c r="D9" s="2" t="s">
        <v>34</v>
      </c>
    </row>
    <row r="10" customFormat="false" ht="15" hidden="false" customHeight="false" outlineLevel="0" collapsed="false">
      <c r="A10" s="2" t="s">
        <v>35</v>
      </c>
      <c r="B10" s="10" t="n">
        <v>3861</v>
      </c>
      <c r="C10" s="2" t="s">
        <v>36</v>
      </c>
      <c r="D10" s="2" t="s">
        <v>37</v>
      </c>
    </row>
    <row r="11" customFormat="false" ht="15" hidden="false" customHeight="false" outlineLevel="0" collapsed="false">
      <c r="A11" s="2" t="s">
        <v>38</v>
      </c>
      <c r="B11" s="10" t="n">
        <v>7687</v>
      </c>
      <c r="C11" s="2" t="s">
        <v>36</v>
      </c>
      <c r="D11" s="2" t="s">
        <v>39</v>
      </c>
    </row>
    <row r="12" customFormat="false" ht="15" hidden="false" customHeight="false" outlineLevel="0" collapsed="false">
      <c r="A12" s="2" t="s">
        <v>40</v>
      </c>
      <c r="B12" s="10" t="n">
        <v>135</v>
      </c>
      <c r="C12" s="2" t="s">
        <v>36</v>
      </c>
      <c r="D12" s="2" t="s">
        <v>41</v>
      </c>
    </row>
    <row r="13" customFormat="false" ht="15" hidden="false" customHeight="false" outlineLevel="0" collapsed="false">
      <c r="A13" s="2" t="s">
        <v>42</v>
      </c>
      <c r="B13" s="10" t="n">
        <v>3</v>
      </c>
      <c r="C13" s="2" t="s">
        <v>43</v>
      </c>
      <c r="D13" s="2" t="s">
        <v>44</v>
      </c>
    </row>
    <row r="14" customFormat="false" ht="15" hidden="false" customHeight="false" outlineLevel="0" collapsed="false">
      <c r="A14" s="2" t="s">
        <v>45</v>
      </c>
      <c r="B14" s="10" t="n">
        <v>8</v>
      </c>
      <c r="C14" s="2" t="s">
        <v>46</v>
      </c>
      <c r="D14" s="2" t="s">
        <v>47</v>
      </c>
    </row>
    <row r="15" customFormat="false" ht="15" hidden="false" customHeight="false" outlineLevel="0" collapsed="false">
      <c r="A15" s="2" t="s">
        <v>48</v>
      </c>
      <c r="B15" s="10" t="n">
        <v>8655</v>
      </c>
      <c r="C15" s="2" t="s">
        <v>36</v>
      </c>
      <c r="D15" s="2" t="s">
        <v>49</v>
      </c>
    </row>
    <row r="16" customFormat="false" ht="15" hidden="false" customHeight="false" outlineLevel="0" collapsed="false">
      <c r="A16" s="2"/>
      <c r="B16" s="2"/>
      <c r="C16" s="2"/>
      <c r="D16" s="2"/>
    </row>
    <row r="17" customFormat="false" ht="15" hidden="false" customHeight="false" outlineLevel="0" collapsed="false">
      <c r="A17" s="8" t="s">
        <v>50</v>
      </c>
      <c r="B17" s="2"/>
      <c r="C17" s="2"/>
      <c r="D17" s="2"/>
    </row>
    <row r="18" customFormat="false" ht="15" hidden="false" customHeight="false" outlineLevel="0" collapsed="false">
      <c r="A18" s="2" t="s">
        <v>51</v>
      </c>
      <c r="B18" s="11" t="n">
        <f aca="false">(Supuestos!$B$10*Supuestos!$B$5+Supuestos!$B$11*Supuestos!$B$5*Supuestos!$B$7+Supuestos!$B$12*Supuestos!$B$6)/1000000</f>
        <v>0.00053047</v>
      </c>
      <c r="C18" s="2" t="s">
        <v>3</v>
      </c>
      <c r="D18" s="2"/>
    </row>
    <row r="19" customFormat="false" ht="15" hidden="false" customHeight="false" outlineLevel="0" collapsed="false">
      <c r="A19" s="2" t="s">
        <v>52</v>
      </c>
      <c r="B19" s="11" t="n">
        <f aca="false">((Supuestos!$B$10+Supuestos!$B$11)*Supuestos!$B$5+Supuestos!$B$12*Supuestos!$B$6)/1000000</f>
        <v>0.0012223</v>
      </c>
      <c r="C19" s="2" t="s">
        <v>3</v>
      </c>
      <c r="D19" s="2"/>
    </row>
    <row r="20" customFormat="false" ht="15" hidden="false" customHeight="false" outlineLevel="0" collapsed="false">
      <c r="A20" s="2" t="s">
        <v>53</v>
      </c>
      <c r="B20" s="11" t="n">
        <f aca="false">Supuestos!$B$15*Supuestos!$B$9/1000000</f>
        <v>0.0008655</v>
      </c>
      <c r="C20" s="2" t="s">
        <v>3</v>
      </c>
      <c r="D20" s="2"/>
    </row>
    <row r="21" customFormat="false" ht="15" hidden="false" customHeight="false" outlineLevel="0" collapsed="false">
      <c r="A21" s="2" t="s">
        <v>54</v>
      </c>
      <c r="B21" s="11" t="n">
        <f aca="false">Supuestos!$B$14*Supuestos!$B$11*Supuestos!$B$5*(Supuestos!$B$8-Supuestos!$B$7)/1000000</f>
        <v>0.00707204</v>
      </c>
      <c r="C21" s="2" t="s">
        <v>3</v>
      </c>
      <c r="D2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8"/>
    <col collapsed="false" customWidth="true" hidden="false" outlineLevel="0" max="5" min="3" style="0" width="10"/>
    <col collapsed="false" customWidth="true" hidden="false" outlineLevel="0" max="8" min="6" style="0" width="12"/>
    <col collapsed="false" customWidth="true" hidden="false" outlineLevel="0" max="12" min="9" style="0" width="14"/>
  </cols>
  <sheetData>
    <row r="1" customFormat="false" ht="17.35" hidden="false" customHeight="false" outlineLevel="0" collapsed="false">
      <c r="A1" s="1" t="s">
        <v>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56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39.55" hidden="false" customHeight="false" outlineLevel="0" collapsed="false">
      <c r="A4" s="4" t="s">
        <v>57</v>
      </c>
      <c r="B4" s="4" t="s">
        <v>58</v>
      </c>
      <c r="C4" s="4" t="s">
        <v>59</v>
      </c>
      <c r="D4" s="4" t="s">
        <v>60</v>
      </c>
      <c r="E4" s="4" t="s">
        <v>61</v>
      </c>
      <c r="F4" s="4" t="s">
        <v>62</v>
      </c>
      <c r="G4" s="4" t="s">
        <v>63</v>
      </c>
      <c r="H4" s="4" t="s">
        <v>64</v>
      </c>
      <c r="I4" s="4" t="s">
        <v>65</v>
      </c>
      <c r="J4" s="4" t="s">
        <v>66</v>
      </c>
      <c r="K4" s="4" t="s">
        <v>67</v>
      </c>
      <c r="L4" s="4" t="s">
        <v>68</v>
      </c>
    </row>
    <row r="5" customFormat="false" ht="15" hidden="false" customHeight="false" outlineLevel="0" collapsed="false">
      <c r="A5" s="2" t="s">
        <v>69</v>
      </c>
      <c r="B5" s="2" t="s">
        <v>70</v>
      </c>
      <c r="C5" s="12" t="n">
        <v>10</v>
      </c>
      <c r="D5" s="12" t="n">
        <v>1</v>
      </c>
      <c r="E5" s="12" t="n">
        <v>1</v>
      </c>
      <c r="F5" s="13" t="n">
        <v>1</v>
      </c>
      <c r="G5" s="14" t="n">
        <f aca="false">C5*D5</f>
        <v>10</v>
      </c>
      <c r="H5" s="14" t="n">
        <f aca="false">C5*E5</f>
        <v>10</v>
      </c>
      <c r="I5" s="15" t="n">
        <f aca="false">G5*Supuestos!$B$18+G5*Supuestos!$B$12*(F5-1)*Supuestos!$B$6/1000000+D5*Supuestos!$B$21</f>
        <v>0.01237674</v>
      </c>
      <c r="J5" s="15" t="n">
        <f aca="false">H5*Supuestos!$B$20</f>
        <v>0.008655</v>
      </c>
      <c r="K5" s="15" t="n">
        <f aca="false">I5+J5</f>
        <v>0.02103174</v>
      </c>
      <c r="L5" s="2" t="s">
        <v>71</v>
      </c>
    </row>
    <row r="6" customFormat="false" ht="15" hidden="false" customHeight="false" outlineLevel="0" collapsed="false">
      <c r="A6" s="2" t="s">
        <v>72</v>
      </c>
      <c r="B6" s="2" t="s">
        <v>73</v>
      </c>
      <c r="C6" s="12" t="n">
        <v>252</v>
      </c>
      <c r="D6" s="12" t="n">
        <v>1</v>
      </c>
      <c r="E6" s="12" t="n">
        <v>1</v>
      </c>
      <c r="F6" s="13" t="n">
        <v>1</v>
      </c>
      <c r="G6" s="14" t="n">
        <f aca="false">C6*D6</f>
        <v>252</v>
      </c>
      <c r="H6" s="14" t="n">
        <f aca="false">C6*E6</f>
        <v>252</v>
      </c>
      <c r="I6" s="15" t="n">
        <f aca="false">G6*Supuestos!$B$18+G6*Supuestos!$B$12*(F6-1)*Supuestos!$B$6/1000000+D6*Supuestos!$B$21</f>
        <v>0.14075048</v>
      </c>
      <c r="J6" s="15" t="n">
        <f aca="false">H6*Supuestos!$B$20</f>
        <v>0.218106</v>
      </c>
      <c r="K6" s="15" t="n">
        <f aca="false">I6+J6</f>
        <v>0.35885648</v>
      </c>
      <c r="L6" s="2" t="s">
        <v>71</v>
      </c>
    </row>
    <row r="7" customFormat="false" ht="15" hidden="false" customHeight="false" outlineLevel="0" collapsed="false">
      <c r="A7" s="2" t="s">
        <v>74</v>
      </c>
      <c r="B7" s="2" t="s">
        <v>75</v>
      </c>
      <c r="C7" s="12" t="n">
        <v>1345</v>
      </c>
      <c r="D7" s="12" t="n">
        <v>1</v>
      </c>
      <c r="E7" s="12" t="n">
        <v>1</v>
      </c>
      <c r="F7" s="13" t="n">
        <v>1</v>
      </c>
      <c r="G7" s="14" t="n">
        <f aca="false">C7*D7</f>
        <v>1345</v>
      </c>
      <c r="H7" s="14" t="n">
        <f aca="false">C7*E7</f>
        <v>1345</v>
      </c>
      <c r="I7" s="15" t="n">
        <f aca="false">G7*Supuestos!$B$18+G7*Supuestos!$B$12*(F7-1)*Supuestos!$B$6/1000000+D7*Supuestos!$B$21</f>
        <v>0.72055419</v>
      </c>
      <c r="J7" s="15" t="n">
        <f aca="false">H7*Supuestos!$B$20</f>
        <v>1.1640975</v>
      </c>
      <c r="K7" s="15" t="n">
        <f aca="false">I7+J7</f>
        <v>1.88465169</v>
      </c>
      <c r="L7" s="2" t="s">
        <v>71</v>
      </c>
    </row>
    <row r="8" customFormat="false" ht="15" hidden="false" customHeight="false" outlineLevel="0" collapsed="false">
      <c r="A8" s="2" t="s">
        <v>76</v>
      </c>
      <c r="B8" s="2" t="s">
        <v>77</v>
      </c>
      <c r="C8" s="12" t="n">
        <v>120</v>
      </c>
      <c r="D8" s="12" t="n">
        <v>1</v>
      </c>
      <c r="E8" s="12" t="n">
        <v>1</v>
      </c>
      <c r="F8" s="13" t="n">
        <v>1</v>
      </c>
      <c r="G8" s="14" t="n">
        <f aca="false">C8*D8</f>
        <v>120</v>
      </c>
      <c r="H8" s="14" t="n">
        <f aca="false">C8*E8</f>
        <v>120</v>
      </c>
      <c r="I8" s="15" t="n">
        <f aca="false">G8*Supuestos!$B$18+G8*Supuestos!$B$12*(F8-1)*Supuestos!$B$6/1000000+D8*Supuestos!$B$21</f>
        <v>0.07072844</v>
      </c>
      <c r="J8" s="15" t="n">
        <f aca="false">H8*Supuestos!$B$20</f>
        <v>0.10386</v>
      </c>
      <c r="K8" s="15" t="n">
        <f aca="false">I8+J8</f>
        <v>0.17458844</v>
      </c>
      <c r="L8" s="2" t="s">
        <v>71</v>
      </c>
    </row>
    <row r="9" customFormat="false" ht="15" hidden="false" customHeight="false" outlineLevel="0" collapsed="false">
      <c r="A9" s="2" t="s">
        <v>78</v>
      </c>
      <c r="B9" s="2" t="s">
        <v>79</v>
      </c>
      <c r="C9" s="12" t="n">
        <v>120</v>
      </c>
      <c r="D9" s="12" t="n">
        <v>1</v>
      </c>
      <c r="E9" s="12" t="n">
        <v>0</v>
      </c>
      <c r="F9" s="16" t="n">
        <f aca="false">Supuestos!$B$13</f>
        <v>3</v>
      </c>
      <c r="G9" s="14" t="n">
        <f aca="false">C9*D9</f>
        <v>120</v>
      </c>
      <c r="H9" s="14" t="n">
        <f aca="false">C9*E9</f>
        <v>0</v>
      </c>
      <c r="I9" s="15" t="n">
        <f aca="false">G9*Supuestos!$B$18+G9*Supuestos!$B$12*(F9-1)*Supuestos!$B$6/1000000+D9*Supuestos!$B$21</f>
        <v>0.08692844</v>
      </c>
      <c r="J9" s="15" t="n">
        <f aca="false">H9*Supuestos!$B$20</f>
        <v>0</v>
      </c>
      <c r="K9" s="15" t="n">
        <f aca="false">I9+J9</f>
        <v>0.08692844</v>
      </c>
      <c r="L9" s="2" t="s">
        <v>71</v>
      </c>
    </row>
    <row r="10" customFormat="false" ht="15" hidden="false" customHeight="false" outlineLevel="0" collapsed="false">
      <c r="A10" s="2" t="s">
        <v>80</v>
      </c>
      <c r="B10" s="2" t="s">
        <v>81</v>
      </c>
      <c r="C10" s="12" t="n">
        <v>707</v>
      </c>
      <c r="D10" s="12" t="n">
        <v>1</v>
      </c>
      <c r="E10" s="12" t="n">
        <v>1</v>
      </c>
      <c r="F10" s="13" t="n">
        <v>1</v>
      </c>
      <c r="G10" s="14" t="n">
        <f aca="false">C10*D10</f>
        <v>707</v>
      </c>
      <c r="H10" s="14" t="n">
        <f aca="false">C10*E10</f>
        <v>707</v>
      </c>
      <c r="I10" s="15" t="n">
        <f aca="false">G10*Supuestos!$B$18+G10*Supuestos!$B$12*(F10-1)*Supuestos!$B$6/1000000+D10*Supuestos!$B$21</f>
        <v>0.38211433</v>
      </c>
      <c r="J10" s="15" t="n">
        <f aca="false">H10*Supuestos!$B$20</f>
        <v>0.6119085</v>
      </c>
      <c r="K10" s="15" t="n">
        <f aca="false">I10+J10</f>
        <v>0.99402283</v>
      </c>
      <c r="L10" s="2" t="s">
        <v>82</v>
      </c>
    </row>
    <row r="11" customFormat="false" ht="15" hidden="false" customHeight="false" outlineLevel="0" collapsed="false">
      <c r="A11" s="2" t="s">
        <v>83</v>
      </c>
      <c r="B11" s="2" t="s">
        <v>84</v>
      </c>
      <c r="C11" s="12" t="n">
        <v>1</v>
      </c>
      <c r="D11" s="12" t="n">
        <v>1</v>
      </c>
      <c r="E11" s="12" t="n">
        <v>1</v>
      </c>
      <c r="F11" s="13" t="n">
        <v>1</v>
      </c>
      <c r="G11" s="14" t="n">
        <f aca="false">C11*D11</f>
        <v>1</v>
      </c>
      <c r="H11" s="14" t="n">
        <f aca="false">C11*E11</f>
        <v>1</v>
      </c>
      <c r="I11" s="15" t="n">
        <f aca="false">G11*Supuestos!$B$18+G11*Supuestos!$B$12*(F11-1)*Supuestos!$B$6/1000000+D11*Supuestos!$B$21</f>
        <v>0.00760251</v>
      </c>
      <c r="J11" s="15" t="n">
        <f aca="false">H11*Supuestos!$B$20</f>
        <v>0.0008655</v>
      </c>
      <c r="K11" s="15" t="n">
        <f aca="false">I11+J11</f>
        <v>0.00846801</v>
      </c>
      <c r="L11" s="2" t="s">
        <v>71</v>
      </c>
    </row>
    <row r="12" customFormat="false" ht="15" hidden="false" customHeight="false" outlineLevel="0" collapsed="false">
      <c r="A12" s="6" t="s">
        <v>85</v>
      </c>
      <c r="B12" s="17"/>
      <c r="C12" s="18" t="n">
        <f aca="false">SUM(C5:C11)</f>
        <v>2555</v>
      </c>
      <c r="D12" s="17"/>
      <c r="E12" s="17"/>
      <c r="F12" s="17"/>
      <c r="G12" s="18" t="n">
        <f aca="false">SUM(G5:G11)</f>
        <v>2555</v>
      </c>
      <c r="H12" s="18" t="n">
        <f aca="false">SUM(H5:H11)</f>
        <v>2435</v>
      </c>
      <c r="I12" s="7" t="n">
        <f aca="false">SUM(I5:I11)</f>
        <v>1.42105513</v>
      </c>
      <c r="J12" s="7" t="n">
        <f aca="false">SUM(J5:J11)</f>
        <v>2.1074925</v>
      </c>
      <c r="K12" s="7" t="n">
        <f aca="false">SUM(K5:K11)</f>
        <v>3.52854763</v>
      </c>
      <c r="L12" s="17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customFormat="false" ht="15" hidden="false" customHeight="false" outlineLevel="0" collapsed="false">
      <c r="A14" s="8" t="s">
        <v>86</v>
      </c>
      <c r="B14" s="2"/>
      <c r="C14" s="2"/>
      <c r="D14" s="2"/>
      <c r="E14" s="2"/>
      <c r="F14" s="2"/>
      <c r="G14" s="2"/>
      <c r="H14" s="2"/>
      <c r="I14" s="2"/>
      <c r="J14" s="2"/>
      <c r="K14" s="5" t="n">
        <f aca="false">SUMIF(L5:L11,"Sí",K5:K11)</f>
        <v>0.99402283</v>
      </c>
      <c r="L14" s="2"/>
    </row>
    <row r="15" customFormat="false" ht="15" hidden="false" customHeight="false" outlineLevel="0" collapsed="false">
      <c r="A15" s="8" t="s">
        <v>87</v>
      </c>
      <c r="B15" s="2"/>
      <c r="C15" s="2"/>
      <c r="D15" s="2"/>
      <c r="E15" s="2"/>
      <c r="F15" s="2"/>
      <c r="G15" s="2"/>
      <c r="H15" s="2"/>
      <c r="I15" s="2"/>
      <c r="J15" s="2"/>
      <c r="K15" s="5" t="n">
        <f aca="false">SUMIF(L5:L11,"No",K5:K11)</f>
        <v>2.5345248</v>
      </c>
      <c r="L15" s="2"/>
    </row>
    <row r="16" customFormat="false" ht="15" hidden="false" customHeight="false" outlineLevel="0" collapsed="false">
      <c r="A16" s="8" t="s">
        <v>88</v>
      </c>
      <c r="B16" s="2"/>
      <c r="C16" s="2"/>
      <c r="D16" s="2"/>
      <c r="E16" s="2"/>
      <c r="F16" s="2"/>
      <c r="G16" s="2"/>
      <c r="H16" s="2"/>
      <c r="I16" s="2"/>
      <c r="J16" s="2"/>
      <c r="K16" s="19" t="n">
        <f aca="false">IFERROR(K15/K12,0)</f>
        <v>0.718291225106688</v>
      </c>
      <c r="L1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80"/>
  </cols>
  <sheetData>
    <row r="1" customFormat="false" ht="17.35" hidden="false" customHeight="false" outlineLevel="0" collapsed="false">
      <c r="A1" s="1" t="s">
        <v>89</v>
      </c>
      <c r="B1" s="2"/>
      <c r="C1" s="2"/>
      <c r="D1" s="2"/>
      <c r="E1" s="2"/>
    </row>
    <row r="2" customFormat="false" ht="15" hidden="false" customHeight="false" outlineLevel="0" collapsed="false">
      <c r="A2" s="3" t="s">
        <v>90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26.85" hidden="false" customHeight="fals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</row>
    <row r="5" customFormat="false" ht="15" hidden="false" customHeight="false" outlineLevel="0" collapsed="false">
      <c r="A5" s="2" t="s">
        <v>96</v>
      </c>
      <c r="B5" s="12" t="n">
        <v>6672</v>
      </c>
      <c r="C5" s="19" t="n">
        <f aca="false">B5/$B$9</f>
        <v>0.598546694177806</v>
      </c>
      <c r="D5" s="2" t="s">
        <v>82</v>
      </c>
      <c r="E5" s="2" t="s">
        <v>97</v>
      </c>
    </row>
    <row r="6" customFormat="false" ht="15" hidden="false" customHeight="false" outlineLevel="0" collapsed="false">
      <c r="A6" s="2" t="s">
        <v>98</v>
      </c>
      <c r="B6" s="12" t="n">
        <v>3139</v>
      </c>
      <c r="C6" s="19" t="n">
        <f aca="false">B6/$B$9</f>
        <v>0.281600430609133</v>
      </c>
      <c r="D6" s="2" t="s">
        <v>71</v>
      </c>
      <c r="E6" s="2" t="s">
        <v>99</v>
      </c>
    </row>
    <row r="7" customFormat="false" ht="15" hidden="false" customHeight="false" outlineLevel="0" collapsed="false">
      <c r="A7" s="2" t="s">
        <v>100</v>
      </c>
      <c r="B7" s="12" t="n">
        <v>1027</v>
      </c>
      <c r="C7" s="19" t="n">
        <f aca="false">B7/$B$9</f>
        <v>0.0921324123082444</v>
      </c>
      <c r="D7" s="2" t="s">
        <v>101</v>
      </c>
      <c r="E7" s="2" t="s">
        <v>102</v>
      </c>
    </row>
    <row r="8" customFormat="false" ht="15" hidden="false" customHeight="false" outlineLevel="0" collapsed="false">
      <c r="A8" s="2" t="s">
        <v>103</v>
      </c>
      <c r="B8" s="12" t="n">
        <v>309</v>
      </c>
      <c r="C8" s="19" t="n">
        <f aca="false">B8/$B$9</f>
        <v>0.0277204629048174</v>
      </c>
      <c r="D8" s="2" t="s">
        <v>71</v>
      </c>
      <c r="E8" s="2" t="s">
        <v>104</v>
      </c>
    </row>
    <row r="9" customFormat="false" ht="15" hidden="false" customHeight="false" outlineLevel="0" collapsed="false">
      <c r="A9" s="6" t="s">
        <v>105</v>
      </c>
      <c r="B9" s="18" t="n">
        <f aca="false">SUM(B5:B8)</f>
        <v>11147</v>
      </c>
      <c r="C9" s="20" t="n">
        <f aca="false">SUM(C5:C8)</f>
        <v>1</v>
      </c>
      <c r="D9" s="17"/>
      <c r="E9" s="17"/>
    </row>
    <row r="10" customFormat="false" ht="15" hidden="false" customHeight="false" outlineLevel="0" collapsed="false">
      <c r="A10" s="2"/>
      <c r="B10" s="2"/>
      <c r="C10" s="2"/>
      <c r="D10" s="2"/>
      <c r="E10" s="2"/>
    </row>
    <row r="11" customFormat="false" ht="15" hidden="false" customHeight="false" outlineLevel="0" collapsed="false">
      <c r="A11" s="2" t="s">
        <v>106</v>
      </c>
      <c r="B11" s="12" t="n">
        <v>300</v>
      </c>
      <c r="C11" s="2"/>
      <c r="D11" s="2"/>
      <c r="E11" s="2" t="s">
        <v>107</v>
      </c>
    </row>
    <row r="12" customFormat="false" ht="15" hidden="false" customHeight="false" outlineLevel="0" collapsed="false">
      <c r="A12" s="2" t="s">
        <v>108</v>
      </c>
      <c r="B12" s="21" t="n">
        <f aca="false">B9/B11</f>
        <v>37.1566666666667</v>
      </c>
      <c r="C12" s="2"/>
      <c r="D12" s="2"/>
      <c r="E12" s="2"/>
    </row>
    <row r="13" customFormat="false" ht="15" hidden="false" customHeight="false" outlineLevel="0" collapsed="false">
      <c r="A13" s="2"/>
      <c r="B13" s="2"/>
      <c r="C13" s="2"/>
      <c r="D13" s="2"/>
      <c r="E13" s="2"/>
    </row>
    <row r="14" customFormat="false" ht="15" hidden="false" customHeight="false" outlineLevel="0" collapsed="false">
      <c r="A14" s="8" t="s">
        <v>109</v>
      </c>
      <c r="B14" s="2"/>
      <c r="C14" s="2"/>
      <c r="D14" s="2"/>
      <c r="E14" s="2"/>
    </row>
    <row r="15" customFormat="false" ht="15" hidden="false" customHeight="false" outlineLevel="0" collapsed="false">
      <c r="A15" s="2" t="s">
        <v>110</v>
      </c>
      <c r="B15" s="14" t="n">
        <f aca="false">Corridas!G12*(Supuestos!$B$10+Supuestos!$B$11)</f>
        <v>29505140</v>
      </c>
      <c r="C15" s="2"/>
      <c r="D15" s="2"/>
      <c r="E15" s="2"/>
    </row>
    <row r="16" customFormat="false" ht="15" hidden="false" customHeight="false" outlineLevel="0" collapsed="false">
      <c r="A16" s="2" t="s">
        <v>111</v>
      </c>
      <c r="B16" s="14" t="n">
        <f aca="false">Corridas!H12*Supuestos!$B$15</f>
        <v>21074925</v>
      </c>
      <c r="C16" s="2"/>
      <c r="D16" s="2"/>
      <c r="E16" s="2"/>
    </row>
    <row r="17" customFormat="false" ht="15" hidden="false" customHeight="false" outlineLevel="0" collapsed="false">
      <c r="A17" s="8" t="s">
        <v>112</v>
      </c>
      <c r="B17" s="22" t="n">
        <f aca="false">B15+B16</f>
        <v>50580065</v>
      </c>
      <c r="C17" s="2"/>
      <c r="D17" s="2"/>
      <c r="E1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6"/>
    <col collapsed="false" customWidth="true" hidden="false" outlineLevel="0" max="5" min="4" style="0" width="18"/>
    <col collapsed="false" customWidth="true" hidden="false" outlineLevel="0" max="6" min="6" style="0" width="46"/>
  </cols>
  <sheetData>
    <row r="1" customFormat="false" ht="17.35" hidden="false" customHeight="false" outlineLevel="0" collapsed="false">
      <c r="A1" s="1" t="s">
        <v>113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114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2" t="s">
        <v>115</v>
      </c>
      <c r="B4" s="10" t="n">
        <v>707</v>
      </c>
      <c r="C4" s="2"/>
      <c r="D4" s="2"/>
      <c r="E4" s="2"/>
      <c r="F4" s="2"/>
    </row>
    <row r="5" customFormat="false" ht="15" hidden="false" customHeight="false" outlineLevel="0" collapsed="false">
      <c r="A5" s="2" t="s">
        <v>116</v>
      </c>
      <c r="B5" s="14" t="n">
        <f aca="false">ROUND(768*768/750,0)</f>
        <v>786</v>
      </c>
      <c r="C5" s="2" t="s">
        <v>117</v>
      </c>
      <c r="D5" s="2"/>
      <c r="E5" s="2"/>
      <c r="F5" s="2"/>
    </row>
    <row r="6" customFormat="false" ht="15" hidden="false" customHeight="false" outlineLevel="0" collapsed="false">
      <c r="A6" s="2" t="s">
        <v>118</v>
      </c>
      <c r="B6" s="14" t="n">
        <f aca="false">'Tokens por llamada'!B6-B5</f>
        <v>2353</v>
      </c>
      <c r="C6" s="2"/>
      <c r="D6" s="2"/>
      <c r="E6" s="2"/>
      <c r="F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</row>
    <row r="8" customFormat="false" ht="26.85" hidden="false" customHeight="false" outlineLevel="0" collapsed="false">
      <c r="A8" s="4" t="s">
        <v>119</v>
      </c>
      <c r="B8" s="4" t="s">
        <v>65</v>
      </c>
      <c r="C8" s="4" t="s">
        <v>66</v>
      </c>
      <c r="D8" s="4" t="s">
        <v>120</v>
      </c>
      <c r="E8" s="4" t="s">
        <v>121</v>
      </c>
      <c r="F8" s="4" t="s">
        <v>122</v>
      </c>
    </row>
    <row r="9" customFormat="false" ht="15" hidden="false" customHeight="false" outlineLevel="0" collapsed="false">
      <c r="A9" s="2" t="s">
        <v>123</v>
      </c>
      <c r="B9" s="15" t="n">
        <f aca="false">$B$4*Supuestos!$B$18+Supuestos!$B$21</f>
        <v>0.38211433</v>
      </c>
      <c r="C9" s="15" t="n">
        <f aca="false">$B$4*Supuestos!$B$20</f>
        <v>0.6119085</v>
      </c>
      <c r="D9" s="15" t="n">
        <f aca="false">B9+C9</f>
        <v>0.99402283</v>
      </c>
      <c r="E9" s="23" t="n">
        <f aca="false">IFERROR(D9/$B$4,0)</f>
        <v>0.0014059728854314</v>
      </c>
      <c r="F9" s="2" t="s">
        <v>124</v>
      </c>
    </row>
    <row r="10" customFormat="false" ht="15" hidden="false" customHeight="false" outlineLevel="0" collapsed="false">
      <c r="A10" s="2" t="s">
        <v>125</v>
      </c>
      <c r="B10" s="15" t="n">
        <f aca="false">$B$4*Supuestos!$B$18+Supuestos!$B$21</f>
        <v>0.38211433</v>
      </c>
      <c r="C10" s="15" t="n">
        <f aca="false">0</f>
        <v>0</v>
      </c>
      <c r="D10" s="15" t="n">
        <f aca="false">B10+C10</f>
        <v>0.38211433</v>
      </c>
      <c r="E10" s="23" t="n">
        <f aca="false">IFERROR(D10/$B$4,0)</f>
        <v>0.0005404728854314</v>
      </c>
      <c r="F10" s="2" t="s">
        <v>126</v>
      </c>
    </row>
    <row r="11" customFormat="false" ht="15" hidden="false" customHeight="false" outlineLevel="0" collapsed="false">
      <c r="A11" s="2" t="s">
        <v>127</v>
      </c>
      <c r="B11" s="15" t="n">
        <f aca="false">$B$4*(Supuestos!$B$18-$B$6*Supuestos!$B$5/1000000)+Supuestos!$B$21</f>
        <v>0.21575723</v>
      </c>
      <c r="C11" s="15" t="n">
        <f aca="false">$B$4*(Supuestos!$B$15-$B$6)*Supuestos!$B$9/1000000</f>
        <v>0.4455514</v>
      </c>
      <c r="D11" s="15" t="n">
        <f aca="false">B11+C11</f>
        <v>0.66130863</v>
      </c>
      <c r="E11" s="23" t="n">
        <f aca="false">IFERROR(D11/$B$4,0)</f>
        <v>0.0009353728854314</v>
      </c>
      <c r="F11" s="2" t="s">
        <v>128</v>
      </c>
    </row>
    <row r="12" customFormat="false" ht="15" hidden="false" customHeight="false" outlineLevel="0" collapsed="false">
      <c r="A12" s="2" t="s">
        <v>129</v>
      </c>
      <c r="B12" s="15" t="n">
        <f aca="false">$B$4*(Supuestos!$B$18-$B$6*Supuestos!$B$5/1000000)+Supuestos!$B$21</f>
        <v>0.21575723</v>
      </c>
      <c r="C12" s="15" t="n">
        <f aca="false">0</f>
        <v>0</v>
      </c>
      <c r="D12" s="15" t="n">
        <f aca="false">B12+C12</f>
        <v>0.21575723</v>
      </c>
      <c r="E12" s="23" t="n">
        <f aca="false">IFERROR(D12/$B$4,0)</f>
        <v>0.0003051728854314</v>
      </c>
      <c r="F12" s="2" t="s">
        <v>130</v>
      </c>
    </row>
    <row r="13" customFormat="false" ht="15" hidden="false" customHeight="false" outlineLevel="0" collapsed="false">
      <c r="A13" s="2" t="s">
        <v>131</v>
      </c>
      <c r="B13" s="15" t="n">
        <f aca="false">$B$4*Supuestos!$B$19</f>
        <v>0.8641661</v>
      </c>
      <c r="C13" s="15" t="n">
        <f aca="false">$B$4*Supuestos!$B$20</f>
        <v>0.6119085</v>
      </c>
      <c r="D13" s="15" t="n">
        <f aca="false">B13+C13</f>
        <v>1.4760746</v>
      </c>
      <c r="E13" s="23" t="n">
        <f aca="false">IFERROR(D13/$B$4,0)</f>
        <v>0.0020878</v>
      </c>
      <c r="F13" s="2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2026-10-14T16:33:01Z</dcterms:created>
  <dc:creator>openpyxl</dc:creator>
  <dc:description/>
  <dc:language>es-CO</dc:language>
  <cp:lastModifiedBy/>
  <dcterms:modified xsi:type="dcterms:W3CDTF">2026-10-14T16:33:01Z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